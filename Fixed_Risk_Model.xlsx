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3"/>
  </bookViews>
  <sheets>
    <sheet name="Master" sheetId="1" r:id="rId1"/>
    <sheet name="Rules" sheetId="2" r:id="rId2"/>
    <sheet name="Borrower_Input" sheetId="3" r:id="rId3"/>
    <sheet name="Calcul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<sst xmlns="http://schemas.openxmlformats.org/spreadsheetml/2006/main" count="303" uniqueCount="109">
  <si>
    <t>Variable</t>
  </si>
  <si>
    <t>Pillar</t>
  </si>
  <si>
    <t>Max Score</t>
  </si>
  <si>
    <t>Ever DPD</t>
  </si>
  <si>
    <t>Repayment</t>
  </si>
  <si>
    <t>Last 12M DPD</t>
  </si>
  <si>
    <t>Max DPD</t>
  </si>
  <si>
    <t>Overdue</t>
  </si>
  <si>
    <t>Written Off</t>
  </si>
  <si>
    <t>Suit Filed</t>
  </si>
  <si>
    <t>Loan Count</t>
  </si>
  <si>
    <t>Capability</t>
  </si>
  <si>
    <t>Secured Mix</t>
  </si>
  <si>
    <t>Total High Credit</t>
  </si>
  <si>
    <t>EMI Capacity</t>
  </si>
  <si>
    <t>Lender Quality</t>
  </si>
  <si>
    <t>Product Mix</t>
  </si>
  <si>
    <t>Credit History</t>
  </si>
  <si>
    <t>Stability</t>
  </si>
  <si>
    <t>Closure Pattern</t>
  </si>
  <si>
    <t>Recent Activity</t>
  </si>
  <si>
    <t>Vintage Pattern</t>
  </si>
  <si>
    <t>Active Loans</t>
  </si>
  <si>
    <t>Condition</t>
  </si>
  <si>
    <t>Score</t>
  </si>
  <si>
    <t>Rationale</t>
  </si>
  <si>
    <t>No DPD</t>
  </si>
  <si>
    <t>Clean repayment</t>
  </si>
  <si>
    <t>DPD 1-30</t>
  </si>
  <si>
    <t>Minor delinquency</t>
  </si>
  <si>
    <t>DPD 30-90</t>
  </si>
  <si>
    <t>Moderate delinquency</t>
  </si>
  <si>
    <t>DPD &gt;90</t>
  </si>
  <si>
    <t>Severe delinquency</t>
  </si>
  <si>
    <t>Strong recent behavior</t>
  </si>
  <si>
    <t>Minor recent stress</t>
  </si>
  <si>
    <t>DPD &gt;30</t>
  </si>
  <si>
    <t>Recent risk</t>
  </si>
  <si>
    <t>0</t>
  </si>
  <si>
    <t>No historical delay</t>
  </si>
  <si>
    <t>1-30</t>
  </si>
  <si>
    <t>Minor delay</t>
  </si>
  <si>
    <t>30-90</t>
  </si>
  <si>
    <t>Moderate</t>
  </si>
  <si>
    <t>&gt;90</t>
  </si>
  <si>
    <t>Severe</t>
  </si>
  <si>
    <t>No overdue</t>
  </si>
  <si>
    <t>Low</t>
  </si>
  <si>
    <t>Minor overdue</t>
  </si>
  <si>
    <t>High</t>
  </si>
  <si>
    <t>High overdue</t>
  </si>
  <si>
    <t>None</t>
  </si>
  <si>
    <t>No loss</t>
  </si>
  <si>
    <t>Settled</t>
  </si>
  <si>
    <t>Partial loss</t>
  </si>
  <si>
    <t>Severe loss</t>
  </si>
  <si>
    <t>No</t>
  </si>
  <si>
    <t>No legal risk</t>
  </si>
  <si>
    <t>Yes</t>
  </si>
  <si>
    <t>Legal default</t>
  </si>
  <si>
    <t>2-6</t>
  </si>
  <si>
    <t>Healthy depth</t>
  </si>
  <si>
    <t>0-1</t>
  </si>
  <si>
    <t>Thin file</t>
  </si>
  <si>
    <t>&gt;6</t>
  </si>
  <si>
    <t>High exposure</t>
  </si>
  <si>
    <t>Lower risk</t>
  </si>
  <si>
    <t>Higher risk</t>
  </si>
  <si>
    <t>&gt;5L</t>
  </si>
  <si>
    <t>High capacity</t>
  </si>
  <si>
    <t>1-5L</t>
  </si>
  <si>
    <t>&lt;1L</t>
  </si>
  <si>
    <t>&gt;50K</t>
  </si>
  <si>
    <t>Strong</t>
  </si>
  <si>
    <t>10-50K</t>
  </si>
  <si>
    <t>&lt;10K</t>
  </si>
  <si>
    <t>Tier 1</t>
  </si>
  <si>
    <t>High trust</t>
  </si>
  <si>
    <t>Mixed</t>
  </si>
  <si>
    <t>Low trust</t>
  </si>
  <si>
    <t>Multiple</t>
  </si>
  <si>
    <t>Mature usage</t>
  </si>
  <si>
    <t>Single</t>
  </si>
  <si>
    <t>Limited</t>
  </si>
  <si>
    <t>&gt;3Y</t>
  </si>
  <si>
    <t>Stable</t>
  </si>
  <si>
    <t>1-3Y</t>
  </si>
  <si>
    <t>&lt;1Y</t>
  </si>
  <si>
    <t>Thin</t>
  </si>
  <si>
    <t>Clean</t>
  </si>
  <si>
    <t>Disciplined</t>
  </si>
  <si>
    <t>Bad</t>
  </si>
  <si>
    <t>Poor</t>
  </si>
  <si>
    <t>Active</t>
  </si>
  <si>
    <t>Inactive</t>
  </si>
  <si>
    <t>Distributed</t>
  </si>
  <si>
    <t>Healthy</t>
  </si>
  <si>
    <t>Clustered</t>
  </si>
  <si>
    <t>Risky</t>
  </si>
  <si>
    <t>1-3</t>
  </si>
  <si>
    <t>No signal</t>
  </si>
  <si>
    <t>&gt;3</t>
  </si>
  <si>
    <t>Overleveraged</t>
  </si>
  <si>
    <t>Input</t>
  </si>
  <si>
    <t>All Conditions</t>
  </si>
  <si>
    <t>Max score</t>
  </si>
  <si>
    <t>Normalised score</t>
  </si>
  <si>
    <t>Borrower score</t>
  </si>
  <si>
    <t>Scaled 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</si>
</sst>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9" fontId="0" fillId="0" borderId="0" xfId="0" applyNumberFormat="1"/>
    <xf numFmtId="0" fontId="0" fillId="0" borderId="0" xfId="0" applyNumberForma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C17" sqref="C17"/>
    </sheetView>
  </sheetViews>
  <sheetFormatPr defaultColWidth="9" defaultRowHeight="15" outlineLevelCol="2"/>
  <cols>
    <col min="1" max="1" width="1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10</v>
      </c>
    </row>
    <row r="3" spans="1:3">
      <c r="A3" t="s">
        <v>5</v>
      </c>
      <c r="B3" t="s">
        <v>4</v>
      </c>
      <c r="C3">
        <v>8</v>
      </c>
    </row>
    <row r="4" spans="1:3">
      <c r="A4" t="s">
        <v>6</v>
      </c>
      <c r="B4" t="s">
        <v>4</v>
      </c>
      <c r="C4">
        <v>5</v>
      </c>
    </row>
    <row r="5" spans="1:3">
      <c r="A5" t="s">
        <v>7</v>
      </c>
      <c r="B5" t="s">
        <v>4</v>
      </c>
      <c r="C5">
        <v>5</v>
      </c>
    </row>
    <row r="6" spans="1:3">
      <c r="A6" t="s">
        <v>8</v>
      </c>
      <c r="B6" t="s">
        <v>4</v>
      </c>
      <c r="C6">
        <v>6</v>
      </c>
    </row>
    <row r="7" spans="1:3">
      <c r="A7" t="s">
        <v>9</v>
      </c>
      <c r="B7" t="s">
        <v>4</v>
      </c>
      <c r="C7">
        <v>6</v>
      </c>
    </row>
    <row r="8" spans="1:3">
      <c r="A8" t="s">
        <v>10</v>
      </c>
      <c r="B8" t="s">
        <v>11</v>
      </c>
      <c r="C8">
        <v>4</v>
      </c>
    </row>
    <row r="9" spans="1:3">
      <c r="A9" t="s">
        <v>12</v>
      </c>
      <c r="B9" t="s">
        <v>11</v>
      </c>
      <c r="C9">
        <v>6</v>
      </c>
    </row>
    <row r="10" spans="1:3">
      <c r="A10" t="s">
        <v>13</v>
      </c>
      <c r="B10" t="s">
        <v>11</v>
      </c>
      <c r="C10">
        <v>6</v>
      </c>
    </row>
    <row r="11" spans="1:3">
      <c r="A11" t="s">
        <v>14</v>
      </c>
      <c r="B11" t="s">
        <v>11</v>
      </c>
      <c r="C11">
        <v>5</v>
      </c>
    </row>
    <row r="12" spans="1:3">
      <c r="A12" t="s">
        <v>15</v>
      </c>
      <c r="B12" t="s">
        <v>11</v>
      </c>
      <c r="C12">
        <v>4</v>
      </c>
    </row>
    <row r="13" spans="1:3">
      <c r="A13" t="s">
        <v>16</v>
      </c>
      <c r="B13" t="s">
        <v>11</v>
      </c>
      <c r="C13">
        <v>5</v>
      </c>
    </row>
    <row r="14" spans="1:3">
      <c r="A14" t="s">
        <v>17</v>
      </c>
      <c r="B14" t="s">
        <v>18</v>
      </c>
      <c r="C14">
        <v>6</v>
      </c>
    </row>
    <row r="15" spans="1:3">
      <c r="A15" t="s">
        <v>19</v>
      </c>
      <c r="B15" t="s">
        <v>18</v>
      </c>
      <c r="C15">
        <v>8</v>
      </c>
    </row>
    <row r="16" spans="1:3">
      <c r="A16" t="s">
        <v>20</v>
      </c>
      <c r="B16" t="s">
        <v>18</v>
      </c>
      <c r="C16">
        <v>5</v>
      </c>
    </row>
    <row r="17" spans="1:3">
      <c r="A17" t="s">
        <v>21</v>
      </c>
      <c r="B17" t="s">
        <v>18</v>
      </c>
      <c r="C17">
        <v>3</v>
      </c>
    </row>
    <row r="18" spans="1:3">
      <c r="A18" t="s">
        <v>22</v>
      </c>
      <c r="B18" t="s">
        <v>18</v>
      </c>
      <c r="C18">
        <v>2</v>
      </c>
    </row>
    <row r="19" spans="3:3">
      <c r="C19" s="2">
        <f>SUM(C2:C18)</f>
        <v>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opLeftCell="A11" workbookViewId="0">
      <selection activeCell="C45" sqref="C45:C46"/>
    </sheetView>
  </sheetViews>
  <sheetFormatPr defaultColWidth="9" defaultRowHeight="15" outlineLevelCol="5"/>
  <cols>
    <col min="1" max="1" width="17" customWidth="1"/>
  </cols>
  <sheetData>
    <row r="1" spans="1:4">
      <c r="A1" t="s">
        <v>0</v>
      </c>
      <c r="B1" t="s">
        <v>23</v>
      </c>
      <c r="C1" t="s">
        <v>24</v>
      </c>
      <c r="D1" t="s">
        <v>25</v>
      </c>
    </row>
    <row r="2" spans="1:6">
      <c r="A2" t="s">
        <v>3</v>
      </c>
      <c r="B2" t="s">
        <v>26</v>
      </c>
      <c r="C2">
        <v>10</v>
      </c>
      <c r="D2" t="s">
        <v>27</v>
      </c>
      <c r="F2">
        <f>C2</f>
        <v>10</v>
      </c>
    </row>
    <row r="3" spans="1:4">
      <c r="A3" t="s">
        <v>3</v>
      </c>
      <c r="B3" t="s">
        <v>28</v>
      </c>
      <c r="C3">
        <v>7</v>
      </c>
      <c r="D3" t="s">
        <v>29</v>
      </c>
    </row>
    <row r="4" spans="1:4">
      <c r="A4" t="s">
        <v>3</v>
      </c>
      <c r="B4" t="s">
        <v>30</v>
      </c>
      <c r="C4">
        <v>4</v>
      </c>
      <c r="D4" t="s">
        <v>31</v>
      </c>
    </row>
    <row r="5" spans="1:4">
      <c r="A5" t="s">
        <v>3</v>
      </c>
      <c r="B5" t="s">
        <v>32</v>
      </c>
      <c r="C5">
        <v>0</v>
      </c>
      <c r="D5" t="s">
        <v>33</v>
      </c>
    </row>
    <row r="6" spans="1:4">
      <c r="A6" t="s">
        <v>5</v>
      </c>
      <c r="B6" t="s">
        <v>26</v>
      </c>
      <c r="C6">
        <v>8</v>
      </c>
      <c r="D6" t="s">
        <v>34</v>
      </c>
    </row>
    <row r="7" spans="1:4">
      <c r="A7" t="s">
        <v>5</v>
      </c>
      <c r="B7" t="s">
        <v>28</v>
      </c>
      <c r="C7">
        <v>5</v>
      </c>
      <c r="D7" t="s">
        <v>35</v>
      </c>
    </row>
    <row r="8" spans="1:4">
      <c r="A8" t="s">
        <v>5</v>
      </c>
      <c r="B8" t="s">
        <v>36</v>
      </c>
      <c r="C8">
        <v>2</v>
      </c>
      <c r="D8" t="s">
        <v>37</v>
      </c>
    </row>
    <row r="9" spans="1:4">
      <c r="A9" t="s">
        <v>6</v>
      </c>
      <c r="B9" t="s">
        <v>38</v>
      </c>
      <c r="C9">
        <v>5</v>
      </c>
      <c r="D9" t="s">
        <v>39</v>
      </c>
    </row>
    <row r="10" spans="1:4">
      <c r="A10" t="s">
        <v>6</v>
      </c>
      <c r="B10" t="s">
        <v>40</v>
      </c>
      <c r="C10">
        <v>4</v>
      </c>
      <c r="D10" t="s">
        <v>41</v>
      </c>
    </row>
    <row r="11" spans="1:4">
      <c r="A11" t="s">
        <v>6</v>
      </c>
      <c r="B11" t="s">
        <v>42</v>
      </c>
      <c r="C11">
        <v>2</v>
      </c>
      <c r="D11" t="s">
        <v>43</v>
      </c>
    </row>
    <row r="12" spans="1:4">
      <c r="A12" t="s">
        <v>6</v>
      </c>
      <c r="B12" t="s">
        <v>44</v>
      </c>
      <c r="C12">
        <v>0</v>
      </c>
      <c r="D12" t="s">
        <v>45</v>
      </c>
    </row>
    <row r="13" spans="1:4">
      <c r="A13" t="s">
        <v>7</v>
      </c>
      <c r="B13" t="s">
        <v>38</v>
      </c>
      <c r="C13">
        <v>5</v>
      </c>
      <c r="D13" t="s">
        <v>46</v>
      </c>
    </row>
    <row r="14" spans="1:4">
      <c r="A14" t="s">
        <v>7</v>
      </c>
      <c r="B14" t="s">
        <v>47</v>
      </c>
      <c r="C14">
        <v>3</v>
      </c>
      <c r="D14" t="s">
        <v>48</v>
      </c>
    </row>
    <row r="15" spans="1:4">
      <c r="A15" t="s">
        <v>7</v>
      </c>
      <c r="B15" t="s">
        <v>49</v>
      </c>
      <c r="C15">
        <v>0</v>
      </c>
      <c r="D15" t="s">
        <v>50</v>
      </c>
    </row>
    <row r="16" spans="1:4">
      <c r="A16" t="s">
        <v>8</v>
      </c>
      <c r="B16" t="s">
        <v>51</v>
      </c>
      <c r="C16">
        <v>6</v>
      </c>
      <c r="D16" t="s">
        <v>52</v>
      </c>
    </row>
    <row r="17" spans="1:4">
      <c r="A17" t="s">
        <v>8</v>
      </c>
      <c r="B17" t="s">
        <v>53</v>
      </c>
      <c r="C17">
        <v>3</v>
      </c>
      <c r="D17" t="s">
        <v>54</v>
      </c>
    </row>
    <row r="18" spans="1:4">
      <c r="A18" t="s">
        <v>8</v>
      </c>
      <c r="B18" t="s">
        <v>8</v>
      </c>
      <c r="C18">
        <v>0</v>
      </c>
      <c r="D18" t="s">
        <v>55</v>
      </c>
    </row>
    <row r="19" spans="1:4">
      <c r="A19" t="s">
        <v>9</v>
      </c>
      <c r="B19" t="s">
        <v>56</v>
      </c>
      <c r="C19">
        <v>6</v>
      </c>
      <c r="D19" t="s">
        <v>57</v>
      </c>
    </row>
    <row r="20" spans="1:4">
      <c r="A20" t="s">
        <v>9</v>
      </c>
      <c r="B20" t="s">
        <v>58</v>
      </c>
      <c r="C20">
        <v>0</v>
      </c>
      <c r="D20" t="s">
        <v>59</v>
      </c>
    </row>
    <row r="21" spans="1:4">
      <c r="A21" t="s">
        <v>10</v>
      </c>
      <c r="B21" t="s">
        <v>60</v>
      </c>
      <c r="C21">
        <v>4</v>
      </c>
      <c r="D21" t="s">
        <v>61</v>
      </c>
    </row>
    <row r="22" spans="1:4">
      <c r="A22" t="s">
        <v>10</v>
      </c>
      <c r="B22" t="s">
        <v>62</v>
      </c>
      <c r="C22">
        <v>2</v>
      </c>
      <c r="D22" t="s">
        <v>63</v>
      </c>
    </row>
    <row r="23" spans="1:4">
      <c r="A23" t="s">
        <v>10</v>
      </c>
      <c r="B23" t="s">
        <v>64</v>
      </c>
      <c r="C23">
        <v>2</v>
      </c>
      <c r="D23" t="s">
        <v>65</v>
      </c>
    </row>
    <row r="24" spans="1:4">
      <c r="A24" t="s">
        <v>12</v>
      </c>
      <c r="B24" t="s">
        <v>58</v>
      </c>
      <c r="C24">
        <v>6</v>
      </c>
      <c r="D24" t="s">
        <v>66</v>
      </c>
    </row>
    <row r="25" spans="1:4">
      <c r="A25" t="s">
        <v>12</v>
      </c>
      <c r="B25" t="s">
        <v>56</v>
      </c>
      <c r="C25">
        <v>2</v>
      </c>
      <c r="D25" t="s">
        <v>67</v>
      </c>
    </row>
    <row r="26" spans="1:4">
      <c r="A26" t="s">
        <v>13</v>
      </c>
      <c r="B26" t="s">
        <v>68</v>
      </c>
      <c r="C26">
        <v>6</v>
      </c>
      <c r="D26" t="s">
        <v>69</v>
      </c>
    </row>
    <row r="27" spans="1:4">
      <c r="A27" t="s">
        <v>13</v>
      </c>
      <c r="B27" t="s">
        <v>70</v>
      </c>
      <c r="C27">
        <v>4</v>
      </c>
      <c r="D27" t="s">
        <v>43</v>
      </c>
    </row>
    <row r="28" spans="1:4">
      <c r="A28" t="s">
        <v>13</v>
      </c>
      <c r="B28" t="s">
        <v>71</v>
      </c>
      <c r="C28">
        <v>2</v>
      </c>
      <c r="D28" t="s">
        <v>47</v>
      </c>
    </row>
    <row r="29" spans="1:4">
      <c r="A29" t="s">
        <v>14</v>
      </c>
      <c r="B29" t="s">
        <v>72</v>
      </c>
      <c r="C29">
        <v>5</v>
      </c>
      <c r="D29" t="s">
        <v>73</v>
      </c>
    </row>
    <row r="30" spans="1:4">
      <c r="A30" t="s">
        <v>14</v>
      </c>
      <c r="B30" t="s">
        <v>74</v>
      </c>
      <c r="C30">
        <v>3</v>
      </c>
      <c r="D30" t="s">
        <v>43</v>
      </c>
    </row>
    <row r="31" spans="1:4">
      <c r="A31" t="s">
        <v>14</v>
      </c>
      <c r="B31" t="s">
        <v>75</v>
      </c>
      <c r="C31">
        <v>1</v>
      </c>
      <c r="D31" t="s">
        <v>47</v>
      </c>
    </row>
    <row r="32" spans="1:4">
      <c r="A32" t="s">
        <v>15</v>
      </c>
      <c r="B32" t="s">
        <v>76</v>
      </c>
      <c r="C32">
        <v>4</v>
      </c>
      <c r="D32" t="s">
        <v>77</v>
      </c>
    </row>
    <row r="33" spans="1:4">
      <c r="A33" t="s">
        <v>15</v>
      </c>
      <c r="B33" t="s">
        <v>78</v>
      </c>
      <c r="C33">
        <v>3</v>
      </c>
      <c r="D33" t="s">
        <v>43</v>
      </c>
    </row>
    <row r="34" spans="1:4">
      <c r="A34" t="s">
        <v>15</v>
      </c>
      <c r="B34" t="s">
        <v>47</v>
      </c>
      <c r="C34">
        <v>1</v>
      </c>
      <c r="D34" t="s">
        <v>79</v>
      </c>
    </row>
    <row r="35" spans="1:4">
      <c r="A35" t="s">
        <v>16</v>
      </c>
      <c r="B35" t="s">
        <v>80</v>
      </c>
      <c r="C35">
        <v>5</v>
      </c>
      <c r="D35" t="s">
        <v>81</v>
      </c>
    </row>
    <row r="36" spans="1:4">
      <c r="A36" t="s">
        <v>16</v>
      </c>
      <c r="B36" t="s">
        <v>82</v>
      </c>
      <c r="C36">
        <v>3</v>
      </c>
      <c r="D36" t="s">
        <v>83</v>
      </c>
    </row>
    <row r="37" spans="1:4">
      <c r="A37" t="s">
        <v>17</v>
      </c>
      <c r="B37" t="s">
        <v>84</v>
      </c>
      <c r="C37">
        <v>6</v>
      </c>
      <c r="D37" t="s">
        <v>85</v>
      </c>
    </row>
    <row r="38" spans="1:4">
      <c r="A38" t="s">
        <v>17</v>
      </c>
      <c r="B38" t="s">
        <v>86</v>
      </c>
      <c r="C38">
        <v>4</v>
      </c>
      <c r="D38" t="s">
        <v>43</v>
      </c>
    </row>
    <row r="39" spans="1:4">
      <c r="A39" t="s">
        <v>17</v>
      </c>
      <c r="B39" t="s">
        <v>87</v>
      </c>
      <c r="C39">
        <v>2</v>
      </c>
      <c r="D39" t="s">
        <v>88</v>
      </c>
    </row>
    <row r="40" spans="1:4">
      <c r="A40" t="s">
        <v>19</v>
      </c>
      <c r="B40" t="s">
        <v>89</v>
      </c>
      <c r="C40">
        <v>8</v>
      </c>
      <c r="D40" t="s">
        <v>90</v>
      </c>
    </row>
    <row r="41" spans="1:4">
      <c r="A41" t="s">
        <v>19</v>
      </c>
      <c r="B41" t="s">
        <v>78</v>
      </c>
      <c r="C41">
        <v>4</v>
      </c>
      <c r="D41" t="s">
        <v>43</v>
      </c>
    </row>
    <row r="42" spans="1:4">
      <c r="A42" t="s">
        <v>19</v>
      </c>
      <c r="B42" t="s">
        <v>91</v>
      </c>
      <c r="C42">
        <v>0</v>
      </c>
      <c r="D42" t="s">
        <v>92</v>
      </c>
    </row>
    <row r="43" spans="1:4">
      <c r="A43" t="s">
        <v>20</v>
      </c>
      <c r="B43" t="s">
        <v>58</v>
      </c>
      <c r="C43">
        <v>5</v>
      </c>
      <c r="D43" t="s">
        <v>93</v>
      </c>
    </row>
    <row r="44" spans="1:4">
      <c r="A44" t="s">
        <v>20</v>
      </c>
      <c r="B44" t="s">
        <v>56</v>
      </c>
      <c r="C44">
        <v>2</v>
      </c>
      <c r="D44" t="s">
        <v>94</v>
      </c>
    </row>
    <row r="45" spans="1:4">
      <c r="A45" t="s">
        <v>21</v>
      </c>
      <c r="B45" t="s">
        <v>95</v>
      </c>
      <c r="C45">
        <v>3</v>
      </c>
      <c r="D45" t="s">
        <v>96</v>
      </c>
    </row>
    <row r="46" spans="1:4">
      <c r="A46" t="s">
        <v>21</v>
      </c>
      <c r="B46" t="s">
        <v>97</v>
      </c>
      <c r="C46">
        <v>1</v>
      </c>
      <c r="D46" t="s">
        <v>98</v>
      </c>
    </row>
    <row r="47" spans="1:4">
      <c r="A47" t="s">
        <v>22</v>
      </c>
      <c r="B47" t="s">
        <v>99</v>
      </c>
      <c r="C47">
        <v>2</v>
      </c>
      <c r="D47" t="s">
        <v>96</v>
      </c>
    </row>
    <row r="48" spans="1:4">
      <c r="A48" t="s">
        <v>22</v>
      </c>
      <c r="B48" t="s">
        <v>51</v>
      </c>
      <c r="C48">
        <v>1</v>
      </c>
      <c r="D48" t="s">
        <v>100</v>
      </c>
    </row>
    <row r="49" spans="1:4">
      <c r="A49" t="s">
        <v>22</v>
      </c>
      <c r="B49" t="s">
        <v>101</v>
      </c>
      <c r="C49">
        <v>0</v>
      </c>
      <c r="D49" t="s">
        <v>102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workbookViewId="0">
      <selection activeCell="B19" sqref="B19"/>
    </sheetView>
  </sheetViews>
  <sheetFormatPr defaultColWidth="9" defaultRowHeight="15" outlineLevelCol="3"/>
  <cols>
    <col min="1" max="1" width="17" customWidth="1"/>
  </cols>
  <sheetData>
    <row r="1" spans="1:4">
      <c r="A1" t="s">
        <v>0</v>
      </c>
      <c r="B1" t="s">
        <v>103</v>
      </c>
      <c r="D1" t="s">
        <v>104</v>
      </c>
    </row>
    <row r="2" spans="1:4">
      <c r="A2" t="s">
        <v>3</v>
      </c>
      <c r="B2" t="s">
        <v>26</v>
      </c>
      <c r="D2" t="s">
        <v>38</v>
      </c>
    </row>
    <row r="3" spans="1:4">
      <c r="A3" t="s">
        <v>5</v>
      </c>
      <c r="B3" t="s">
        <v>26</v>
      </c>
      <c r="D3" t="s">
        <v>62</v>
      </c>
    </row>
    <row r="4" spans="1:4">
      <c r="A4" t="s">
        <v>6</v>
      </c>
      <c r="B4" t="s">
        <v>38</v>
      </c>
      <c r="D4" t="s">
        <v>99</v>
      </c>
    </row>
    <row r="5" spans="1:4">
      <c r="A5" t="s">
        <v>7</v>
      </c>
      <c r="B5" t="s">
        <v>38</v>
      </c>
      <c r="D5" t="s">
        <v>40</v>
      </c>
    </row>
    <row r="6" spans="1:4">
      <c r="A6" t="s">
        <v>8</v>
      </c>
      <c r="B6" t="s">
        <v>51</v>
      </c>
      <c r="D6" t="s">
        <v>86</v>
      </c>
    </row>
    <row r="7" spans="1:4">
      <c r="A7" t="s">
        <v>9</v>
      </c>
      <c r="B7" t="s">
        <v>56</v>
      </c>
      <c r="D7" t="s">
        <v>70</v>
      </c>
    </row>
    <row r="8" spans="1:4">
      <c r="A8" t="s">
        <v>10</v>
      </c>
      <c r="B8" t="s">
        <v>60</v>
      </c>
      <c r="D8" t="s">
        <v>74</v>
      </c>
    </row>
    <row r="9" spans="1:4">
      <c r="A9" t="s">
        <v>12</v>
      </c>
      <c r="B9" t="s">
        <v>56</v>
      </c>
      <c r="D9" t="s">
        <v>60</v>
      </c>
    </row>
    <row r="10" spans="1:4">
      <c r="A10" t="s">
        <v>13</v>
      </c>
      <c r="B10" t="s">
        <v>68</v>
      </c>
      <c r="D10" t="s">
        <v>42</v>
      </c>
    </row>
    <row r="11" spans="1:4">
      <c r="A11" t="s">
        <v>14</v>
      </c>
      <c r="B11" t="s">
        <v>74</v>
      </c>
      <c r="D11" t="s">
        <v>75</v>
      </c>
    </row>
    <row r="12" spans="1:4">
      <c r="A12" t="s">
        <v>15</v>
      </c>
      <c r="B12" t="s">
        <v>78</v>
      </c>
      <c r="D12" t="s">
        <v>71</v>
      </c>
    </row>
    <row r="13" spans="1:4">
      <c r="A13" t="s">
        <v>16</v>
      </c>
      <c r="B13" t="s">
        <v>80</v>
      </c>
      <c r="D13" t="s">
        <v>87</v>
      </c>
    </row>
    <row r="14" spans="1:4">
      <c r="A14" t="s">
        <v>17</v>
      </c>
      <c r="B14" t="s">
        <v>84</v>
      </c>
      <c r="D14" t="s">
        <v>101</v>
      </c>
    </row>
    <row r="15" spans="1:4">
      <c r="A15" t="s">
        <v>19</v>
      </c>
      <c r="B15" t="s">
        <v>89</v>
      </c>
      <c r="D15" t="s">
        <v>84</v>
      </c>
    </row>
    <row r="16" spans="1:4">
      <c r="A16" t="s">
        <v>20</v>
      </c>
      <c r="B16" t="s">
        <v>58</v>
      </c>
      <c r="D16" t="s">
        <v>72</v>
      </c>
    </row>
    <row r="17" spans="1:4">
      <c r="A17" t="s">
        <v>21</v>
      </c>
      <c r="B17" t="s">
        <v>97</v>
      </c>
      <c r="D17" t="s">
        <v>68</v>
      </c>
    </row>
    <row r="18" spans="1:4">
      <c r="A18" t="s">
        <v>22</v>
      </c>
      <c r="B18" t="s">
        <v>99</v>
      </c>
      <c r="D18" t="s">
        <v>64</v>
      </c>
    </row>
    <row r="19" spans="4:4">
      <c r="D19" t="s">
        <v>44</v>
      </c>
    </row>
    <row r="20" spans="4:4">
      <c r="D20" t="s">
        <v>91</v>
      </c>
    </row>
    <row r="21" spans="4:4">
      <c r="D21" t="s">
        <v>89</v>
      </c>
    </row>
    <row r="22" spans="4:4">
      <c r="D22" t="s">
        <v>97</v>
      </c>
    </row>
    <row r="23" spans="4:4">
      <c r="D23" t="s">
        <v>28</v>
      </c>
    </row>
    <row r="24" spans="4:4">
      <c r="D24" t="s">
        <v>30</v>
      </c>
    </row>
    <row r="25" spans="4:4">
      <c r="D25" t="s">
        <v>36</v>
      </c>
    </row>
    <row r="26" spans="4:4">
      <c r="D26" t="s">
        <v>32</v>
      </c>
    </row>
    <row r="27" spans="4:4">
      <c r="D27" t="s">
        <v>95</v>
      </c>
    </row>
    <row r="28" spans="4:4">
      <c r="D28" t="s">
        <v>49</v>
      </c>
    </row>
    <row r="29" spans="4:4">
      <c r="D29" t="s">
        <v>47</v>
      </c>
    </row>
    <row r="30" spans="4:4">
      <c r="D30" t="s">
        <v>78</v>
      </c>
    </row>
    <row r="31" spans="4:4">
      <c r="D31" t="s">
        <v>80</v>
      </c>
    </row>
    <row r="32" spans="4:4">
      <c r="D32" t="s">
        <v>56</v>
      </c>
    </row>
    <row r="33" spans="4:4">
      <c r="D33" t="s">
        <v>26</v>
      </c>
    </row>
    <row r="34" spans="4:4">
      <c r="D34" t="s">
        <v>51</v>
      </c>
    </row>
    <row r="35" spans="4:4">
      <c r="D35" t="s">
        <v>53</v>
      </c>
    </row>
    <row r="36" spans="4:4">
      <c r="D36" t="s">
        <v>82</v>
      </c>
    </row>
    <row r="37" spans="4:4">
      <c r="D37" t="s">
        <v>76</v>
      </c>
    </row>
    <row r="38" spans="4:4">
      <c r="D38" t="s">
        <v>8</v>
      </c>
    </row>
    <row r="39" spans="4:4">
      <c r="D39" t="s">
        <v>58</v>
      </c>
    </row>
  </sheetData>
  <dataValidations count="1">
    <dataValidation type="list" allowBlank="1" sqref="B2 B3 B10 B11 B12 B13 B14 B15 B16 B17 B18 B4:B9">
      <formula1>Borrower_Input!$D$2:$D$100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topLeftCell="A2" workbookViewId="0">
      <selection activeCell="F19" sqref="F19"/>
    </sheetView>
  </sheetViews>
  <sheetFormatPr defaultColWidth="9" defaultRowHeight="15" outlineLevelCol="7"/>
  <cols>
    <col min="1" max="1" width="17.8571428571429" customWidth="1"/>
    <col min="3" max="3" width="6.42857142857143" customWidth="1"/>
    <col min="4" max="4" width="11.8571428571429" customWidth="1"/>
    <col min="5" max="5" width="15.5714285714286" customWidth="1"/>
    <col min="6" max="6" width="17.8571428571429" customWidth="1"/>
  </cols>
  <sheetData>
    <row r="1" spans="1:6">
      <c r="A1" t="s">
        <v>0</v>
      </c>
      <c r="B1" t="s">
        <v>103</v>
      </c>
      <c r="C1" t="s">
        <v>24</v>
      </c>
      <c r="D1" t="s">
        <v>1</v>
      </c>
      <c r="E1" t="s">
        <v>105</v>
      </c>
      <c r="F1" t="s">
        <v>106</v>
      </c>
    </row>
    <row r="2" spans="1:7">
      <c r="A2" t="s">
        <v>3</v>
      </c>
      <c r="B2" t="str">
        <f>Borrower_Input!B2</f>
        <v>No DPD</v>
      </c>
      <c r="C2">
        <f>SUMIFS(Rules!C:C,Rules!A:A,A2,Rules!B:B,B2)</f>
        <v>10</v>
      </c>
      <c r="D2" t="s">
        <v>4</v>
      </c>
      <c r="E2">
        <v>10</v>
      </c>
      <c r="F2">
        <f t="shared" ref="F2:F18" si="0">C2/E2*10</f>
        <v>10</v>
      </c>
      <c r="G2" s="1"/>
    </row>
    <row r="3" spans="1:7">
      <c r="A3" t="s">
        <v>5</v>
      </c>
      <c r="B3" t="str">
        <f>Borrower_Input!B3</f>
        <v>No DPD</v>
      </c>
      <c r="C3">
        <f>SUMIFS(Rules!C:C,Rules!A:A,A3,Rules!B:B,B3)</f>
        <v>8</v>
      </c>
      <c r="D3" t="s">
        <v>4</v>
      </c>
      <c r="E3">
        <v>8</v>
      </c>
      <c r="F3">
        <f t="shared" si="0"/>
        <v>10</v>
      </c>
      <c r="G3" s="1"/>
    </row>
    <row r="4" spans="1:7">
      <c r="A4" t="s">
        <v>6</v>
      </c>
      <c r="B4" t="str">
        <f>Borrower_Input!B4</f>
        <v>0</v>
      </c>
      <c r="C4">
        <f>SUMIFS(Rules!C:C,Rules!A:A,A4,Rules!B:B,B4)</f>
        <v>5</v>
      </c>
      <c r="D4" t="s">
        <v>4</v>
      </c>
      <c r="E4">
        <v>5</v>
      </c>
      <c r="F4">
        <f t="shared" si="0"/>
        <v>10</v>
      </c>
      <c r="G4" s="1"/>
    </row>
    <row r="5" spans="1:7">
      <c r="A5" t="s">
        <v>7</v>
      </c>
      <c r="B5" t="str">
        <f>Borrower_Input!B5</f>
        <v>0</v>
      </c>
      <c r="C5">
        <f>SUMIFS(Rules!C:C,Rules!A:A,A5,Rules!B:B,B5)</f>
        <v>5</v>
      </c>
      <c r="D5" t="s">
        <v>4</v>
      </c>
      <c r="E5">
        <v>5</v>
      </c>
      <c r="F5">
        <f t="shared" si="0"/>
        <v>10</v>
      </c>
      <c r="G5" s="1"/>
    </row>
    <row r="6" spans="1:7">
      <c r="A6" t="s">
        <v>8</v>
      </c>
      <c r="B6" t="str">
        <f>Borrower_Input!B6</f>
        <v>None</v>
      </c>
      <c r="C6">
        <f>SUMIFS(Rules!C:C,Rules!A:A,A6,Rules!B:B,B6)</f>
        <v>6</v>
      </c>
      <c r="D6" t="s">
        <v>4</v>
      </c>
      <c r="E6">
        <v>6</v>
      </c>
      <c r="F6">
        <f t="shared" si="0"/>
        <v>10</v>
      </c>
      <c r="G6" s="1"/>
    </row>
    <row r="7" spans="1:7">
      <c r="A7" t="s">
        <v>9</v>
      </c>
      <c r="B7" t="str">
        <f>Borrower_Input!B7</f>
        <v>No</v>
      </c>
      <c r="C7">
        <f>SUMIFS(Rules!C:C,Rules!A:A,A7,Rules!B:B,B7)</f>
        <v>6</v>
      </c>
      <c r="D7" t="s">
        <v>4</v>
      </c>
      <c r="E7">
        <v>6</v>
      </c>
      <c r="F7">
        <f t="shared" si="0"/>
        <v>10</v>
      </c>
      <c r="G7" s="1"/>
    </row>
    <row r="8" spans="1:7">
      <c r="A8" t="s">
        <v>10</v>
      </c>
      <c r="B8" t="str">
        <f>Borrower_Input!B8</f>
        <v>2-6</v>
      </c>
      <c r="C8">
        <f>SUMIFS(Rules!C:C,Rules!A:A,A8,Rules!B:B,B8)</f>
        <v>4</v>
      </c>
      <c r="D8" t="s">
        <v>11</v>
      </c>
      <c r="E8">
        <v>4</v>
      </c>
      <c r="F8">
        <f t="shared" si="0"/>
        <v>10</v>
      </c>
      <c r="G8" s="1"/>
    </row>
    <row r="9" spans="1:7">
      <c r="A9" t="s">
        <v>12</v>
      </c>
      <c r="B9" t="str">
        <f>Borrower_Input!B9</f>
        <v>No</v>
      </c>
      <c r="C9">
        <f>SUMIFS(Rules!C:C,Rules!A:A,A9,Rules!B:B,B9)</f>
        <v>2</v>
      </c>
      <c r="D9" t="s">
        <v>11</v>
      </c>
      <c r="E9">
        <v>6</v>
      </c>
      <c r="F9">
        <f t="shared" si="0"/>
        <v>3.33333333333333</v>
      </c>
      <c r="G9" s="1"/>
    </row>
    <row r="10" spans="1:7">
      <c r="A10" t="s">
        <v>13</v>
      </c>
      <c r="B10" t="str">
        <f>Borrower_Input!B10</f>
        <v>&gt;5L</v>
      </c>
      <c r="C10">
        <v>6</v>
      </c>
      <c r="D10" t="s">
        <v>11</v>
      </c>
      <c r="E10">
        <v>6</v>
      </c>
      <c r="F10">
        <f t="shared" si="0"/>
        <v>10</v>
      </c>
      <c r="G10" s="1"/>
    </row>
    <row r="11" spans="1:7">
      <c r="A11" t="s">
        <v>14</v>
      </c>
      <c r="B11" t="str">
        <f>Borrower_Input!B11</f>
        <v>10-50K</v>
      </c>
      <c r="C11">
        <f>SUMIFS(Rules!C:C,Rules!A:A,A11,Rules!B:B,B11)</f>
        <v>3</v>
      </c>
      <c r="D11" t="s">
        <v>11</v>
      </c>
      <c r="E11">
        <v>5</v>
      </c>
      <c r="F11">
        <f t="shared" si="0"/>
        <v>6</v>
      </c>
      <c r="G11" s="1"/>
    </row>
    <row r="12" spans="1:7">
      <c r="A12" t="s">
        <v>15</v>
      </c>
      <c r="B12" t="str">
        <f>Borrower_Input!B12</f>
        <v>Mixed</v>
      </c>
      <c r="C12">
        <f>SUMIFS(Rules!C:C,Rules!A:A,A12,Rules!B:B,B12)</f>
        <v>3</v>
      </c>
      <c r="D12" t="s">
        <v>11</v>
      </c>
      <c r="E12">
        <v>4</v>
      </c>
      <c r="F12">
        <f t="shared" si="0"/>
        <v>7.5</v>
      </c>
      <c r="G12" s="1"/>
    </row>
    <row r="13" spans="1:7">
      <c r="A13" t="s">
        <v>16</v>
      </c>
      <c r="B13" t="str">
        <f>Borrower_Input!B13</f>
        <v>Multiple</v>
      </c>
      <c r="C13">
        <f>SUMIFS(Rules!C:C,Rules!A:A,A13,Rules!B:B,B13)</f>
        <v>5</v>
      </c>
      <c r="D13" t="s">
        <v>11</v>
      </c>
      <c r="E13">
        <v>5</v>
      </c>
      <c r="F13">
        <f t="shared" si="0"/>
        <v>10</v>
      </c>
      <c r="G13" s="1"/>
    </row>
    <row r="14" spans="1:7">
      <c r="A14" t="s">
        <v>17</v>
      </c>
      <c r="B14" t="str">
        <f>Borrower_Input!B14</f>
        <v>&gt;3Y</v>
      </c>
      <c r="C14">
        <v>6</v>
      </c>
      <c r="D14" t="s">
        <v>18</v>
      </c>
      <c r="E14">
        <v>6</v>
      </c>
      <c r="F14">
        <f t="shared" si="0"/>
        <v>10</v>
      </c>
      <c r="G14" s="1"/>
    </row>
    <row r="15" spans="1:7">
      <c r="A15" t="s">
        <v>19</v>
      </c>
      <c r="B15" t="str">
        <f>Borrower_Input!B15</f>
        <v>Clean</v>
      </c>
      <c r="C15">
        <f>SUMIFS(Rules!C:C,Rules!A:A,A15,Rules!B:B,B15)</f>
        <v>8</v>
      </c>
      <c r="D15" t="s">
        <v>18</v>
      </c>
      <c r="E15">
        <v>8</v>
      </c>
      <c r="F15">
        <f t="shared" si="0"/>
        <v>10</v>
      </c>
      <c r="G15" s="1"/>
    </row>
    <row r="16" spans="1:7">
      <c r="A16" t="s">
        <v>20</v>
      </c>
      <c r="B16" t="str">
        <f>Borrower_Input!B16</f>
        <v>Yes</v>
      </c>
      <c r="C16">
        <f>SUMIFS(Rules!C:C,Rules!A:A,A16,Rules!B:B,B16)</f>
        <v>5</v>
      </c>
      <c r="D16" t="s">
        <v>18</v>
      </c>
      <c r="E16">
        <v>5</v>
      </c>
      <c r="F16">
        <f t="shared" si="0"/>
        <v>10</v>
      </c>
      <c r="G16" s="1"/>
    </row>
    <row r="17" spans="1:7">
      <c r="A17" t="s">
        <v>21</v>
      </c>
      <c r="B17" t="str">
        <f>Borrower_Input!B17</f>
        <v>Clustered</v>
      </c>
      <c r="C17">
        <f>SUMIFS(Rules!C:C,Rules!A:A,A17,Rules!B:B,B17)</f>
        <v>1</v>
      </c>
      <c r="D17" t="s">
        <v>18</v>
      </c>
      <c r="E17">
        <v>3</v>
      </c>
      <c r="F17">
        <f t="shared" si="0"/>
        <v>3.33333333333333</v>
      </c>
      <c r="G17" s="1"/>
    </row>
    <row r="18" spans="1:7">
      <c r="A18" t="s">
        <v>22</v>
      </c>
      <c r="B18" t="str">
        <f>Borrower_Input!B18</f>
        <v>1-3</v>
      </c>
      <c r="C18">
        <f>SUMIFS(Rules!C:C,Rules!A:A,A18,Rules!B:B,B18)</f>
        <v>2</v>
      </c>
      <c r="D18" t="s">
        <v>18</v>
      </c>
      <c r="E18">
        <v>2</v>
      </c>
      <c r="F18">
        <f t="shared" si="0"/>
        <v>10</v>
      </c>
      <c r="G18" s="1"/>
    </row>
    <row r="19" spans="5:8">
      <c r="E19" t="s">
        <v>107</v>
      </c>
      <c r="F19" s="2">
        <f>SUM(F2:F18)</f>
        <v>150.166666666667</v>
      </c>
      <c r="H19" s="2"/>
    </row>
    <row r="20" spans="5:6">
      <c r="E20" t="s">
        <v>105</v>
      </c>
      <c r="F20">
        <f>SUM(10*17)</f>
        <v>170</v>
      </c>
    </row>
    <row r="21" spans="5:6">
      <c r="E21" t="s">
        <v>108</v>
      </c>
      <c r="F21" s="3">
        <f>F19/F20*100</f>
        <v>88.3333333333333</v>
      </c>
    </row>
    <row r="24" spans="4:4">
      <c r="D24" s="1"/>
    </row>
    <row r="25" spans="4:4">
      <c r="D25" s="1"/>
    </row>
    <row r="26" spans="4:4">
      <c r="D2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Master</vt:lpstr>
      <vt:lpstr>Rules</vt:lpstr>
      <vt:lpstr>Borrower_Input</vt:lpstr>
      <vt:lpstr>Calculation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Tejash Khairnar</cp:lastModifiedBy>
  <dcterms:created xsi:type="dcterms:W3CDTF">2026-03-23T15:48:00Z</dcterms:created>
  <dcterms:modified xsi:type="dcterms:W3CDTF">2026-03-23T16:46:01Z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58398626CD0C4E838B51FC8FB334D8D9_12</vt:lpwstr>
  </property>
  <property fmtid="{D5CDD505-2E9C-101B-9397-08002B2CF9AE}" pid="3" name="KSOProductBuildVer">
    <vt:lpwstr>1033-12.2.0.23196</vt:lpwstr>
  </property>
</Properties>
</file>